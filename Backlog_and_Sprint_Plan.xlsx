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User Stories" sheetId="2" state="visible" r:id="rId4"/>
    <sheet name="Sprint Plan" sheetId="3" state="visible" r:id="rId5"/>
  </sheets>
  <definedNames>
    <definedName function="false" hidden="true" localSheetId="1" name="_xlnm._FilterDatabase" vbProcedure="false">'User Stories'!$A$4:$L$47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<sst xmlns="http://schemas.openxmlformats.org/spreadsheetml/2006/main" count="566" uniqueCount="311">
  <si>
    <t xml:space="preserve">Hospital Appointment &amp; Patient Management System</t>
  </si>
  <si>
    <t xml:space="preserve">User story backlog and sprint plan  ·  Advanced Python major assignment  ·  Due 21 October 2026</t>
  </si>
  <si>
    <t xml:space="preserve">How to use this file</t>
  </si>
  <si>
    <t xml:space="preserve">1</t>
  </si>
  <si>
    <t xml:space="preserve">Open the 'User Stories' sheet. Every row is one story with its acceptance criteria.</t>
  </si>
  <si>
    <t xml:space="preserve">2</t>
  </si>
  <si>
    <t xml:space="preserve">Fill only the yellow columns: Points, Owner, Sprint, Status. They have drop-down lists.</t>
  </si>
  <si>
    <t xml:space="preserve">3</t>
  </si>
  <si>
    <t xml:space="preserve">The 'Sprint Plan' sheet adds everything up by itself. Do not type into its white cells.</t>
  </si>
  <si>
    <t xml:space="preserve">4</t>
  </si>
  <si>
    <t xml:space="preserve">Update Status at the end of each working session so the progress figures stay true.</t>
  </si>
  <si>
    <t xml:space="preserve">Story points</t>
  </si>
  <si>
    <t xml:space="preserve">Trivial, under an hour</t>
  </si>
  <si>
    <t xml:space="preserve">Small, half a day</t>
  </si>
  <si>
    <t xml:space="preserve">Normal, about one day</t>
  </si>
  <si>
    <t xml:space="preserve">5</t>
  </si>
  <si>
    <t xml:space="preserve">Large, two days, worth splitting if possible</t>
  </si>
  <si>
    <t xml:space="preserve">8</t>
  </si>
  <si>
    <t xml:space="preserve">Very large, needs design first</t>
  </si>
  <si>
    <t xml:space="preserve">Priority (MoSCoW)</t>
  </si>
  <si>
    <t xml:space="preserve">Must</t>
  </si>
  <si>
    <t xml:space="preserve">Tier 1 and 2 in the PRD. The project fails without it.</t>
  </si>
  <si>
    <t xml:space="preserve">Should</t>
  </si>
  <si>
    <t xml:space="preserve">Valuable but the demo survives without it.</t>
  </si>
  <si>
    <t xml:space="preserve">Could</t>
  </si>
  <si>
    <t xml:space="preserve">Tier 3 bonus. Build only if ahead of schedule; otherwise write it up as a future enhancement.</t>
  </si>
  <si>
    <t xml:space="preserve">Rule</t>
  </si>
  <si>
    <t xml:space="preserve">Code freeze</t>
  </si>
  <si>
    <t xml:space="preserve">16 October. After that date no new story is started; only bug fixes, report and slides.</t>
  </si>
  <si>
    <t xml:space="preserve">Product backlog</t>
  </si>
  <si>
    <t xml:space="preserve">Yellow columns are yours to fill in. Everything else is set by the PRD.</t>
  </si>
  <si>
    <t xml:space="preserve">Story ID</t>
  </si>
  <si>
    <t xml:space="preserve">Epic</t>
  </si>
  <si>
    <t xml:space="preserve">As a...</t>
  </si>
  <si>
    <t xml:space="preserve">I want...</t>
  </si>
  <si>
    <t xml:space="preserve">So that...</t>
  </si>
  <si>
    <t xml:space="preserve">Acceptance criteria</t>
  </si>
  <si>
    <t xml:space="preserve">PRD ref</t>
  </si>
  <si>
    <t xml:space="preserve">Priority</t>
  </si>
  <si>
    <t xml:space="preserve">Points</t>
  </si>
  <si>
    <t xml:space="preserve">Owner</t>
  </si>
  <si>
    <t xml:space="preserve">Sprint</t>
  </si>
  <si>
    <t xml:space="preserve">Status</t>
  </si>
  <si>
    <t xml:space="preserve">US-01</t>
  </si>
  <si>
    <t xml:space="preserve">Foundation</t>
  </si>
  <si>
    <t xml:space="preserve">developer</t>
  </si>
  <si>
    <t xml:space="preserve">a shared Git repo with the folder structure and schema.sql</t>
  </si>
  <si>
    <t xml:space="preserve">everyone can start coding without overwriting each other</t>
  </si>
  <si>
    <t xml:space="preserve">Repo cloned by all 4; running schema.sql creates 10 tables with no error</t>
  </si>
  <si>
    <t xml:space="preserve">—</t>
  </si>
  <si>
    <t xml:space="preserve">Person 1</t>
  </si>
  <si>
    <t xml:space="preserve">Sprint 1</t>
  </si>
  <si>
    <t xml:space="preserve">Not started</t>
  </si>
  <si>
    <t xml:space="preserve">US-02</t>
  </si>
  <si>
    <t xml:space="preserve">a database module that opens the connection and creates tables</t>
  </si>
  <si>
    <t xml:space="preserve">every other module has one way to reach the data</t>
  </si>
  <si>
    <t xml:space="preserve">init_db() is safe to run twice; foreign keys are ON</t>
  </si>
  <si>
    <t xml:space="preserve">US-03</t>
  </si>
  <si>
    <t xml:space="preserve">the model classes Person, Patient, Doctor and Appointment</t>
  </si>
  <si>
    <t xml:space="preserve">the team shares one definition of every object</t>
  </si>
  <si>
    <t xml:space="preserve">Patient and Doctor inherit Person and override display_info(); age has a validating setter</t>
  </si>
  <si>
    <t xml:space="preserve">US-04</t>
  </si>
  <si>
    <t xml:space="preserve">reusable input helpers for text, numbers, phone, date and time</t>
  </si>
  <si>
    <t xml:space="preserve">no menu ever crashes on bad typing</t>
  </si>
  <si>
    <t xml:space="preserve">Letters typed into a number field re-prompt instead of raising</t>
  </si>
  <si>
    <t xml:space="preserve">Person 2</t>
  </si>
  <si>
    <t xml:space="preserve">US-05</t>
  </si>
  <si>
    <t xml:space="preserve">a seed script that fills the database with demo data</t>
  </si>
  <si>
    <t xml:space="preserve">we can test and demo without typing records by hand</t>
  </si>
  <si>
    <t xml:space="preserve">3 departments, 6 doctors, 20 patients, 30 appointments created by one command</t>
  </si>
  <si>
    <t xml:space="preserve">US-06</t>
  </si>
  <si>
    <t xml:space="preserve">Authentication</t>
  </si>
  <si>
    <t xml:space="preserve">staff member</t>
  </si>
  <si>
    <t xml:space="preserve">to log in with a username and password</t>
  </si>
  <si>
    <t xml:space="preserve">patient data is not open to anyone who opens the program</t>
  </si>
  <si>
    <t xml:space="preserve">Correct login opens the menu; 3 wrong attempts exit; passwords stored as SHA-256</t>
  </si>
  <si>
    <t xml:space="preserve">FR-1.1</t>
  </si>
  <si>
    <t xml:space="preserve">US-07</t>
  </si>
  <si>
    <t xml:space="preserve">user</t>
  </si>
  <si>
    <t xml:space="preserve">to see only the menu options my role allows</t>
  </si>
  <si>
    <t xml:space="preserve">staff cannot reach functions they should not use</t>
  </si>
  <si>
    <t xml:space="preserve">Receptionist login shows no admin options; doctor login shows only their own appointments</t>
  </si>
  <si>
    <t xml:space="preserve">FR-1.2</t>
  </si>
  <si>
    <t xml:space="preserve">US-08</t>
  </si>
  <si>
    <t xml:space="preserve">admin</t>
  </si>
  <si>
    <t xml:space="preserve">to create, deactivate and reset user accounts</t>
  </si>
  <si>
    <t xml:space="preserve">staff changes do not need a developer</t>
  </si>
  <si>
    <t xml:space="preserve">New account can log in; deactivated account is refused</t>
  </si>
  <si>
    <t xml:space="preserve">FR-1.3</t>
  </si>
  <si>
    <t xml:space="preserve">Sprint 2</t>
  </si>
  <si>
    <t xml:space="preserve">US-09</t>
  </si>
  <si>
    <t xml:space="preserve">Patients</t>
  </si>
  <si>
    <t xml:space="preserve">receptionist</t>
  </si>
  <si>
    <t xml:space="preserve">to register a new patient with an auto-generated ID</t>
  </si>
  <si>
    <t xml:space="preserve">each patient is identified once and never duplicated</t>
  </si>
  <si>
    <t xml:space="preserve">ID follows P001, P002; name and phone are required; created_at is stored</t>
  </si>
  <si>
    <t xml:space="preserve">FR-2.1</t>
  </si>
  <si>
    <t xml:space="preserve">US-10</t>
  </si>
  <si>
    <t xml:space="preserve">to update a patient's details</t>
  </si>
  <si>
    <t xml:space="preserve">records stay correct when a phone number or address changes</t>
  </si>
  <si>
    <t xml:space="preserve">Any field except the ID can be changed; validation runs again on the new value</t>
  </si>
  <si>
    <t xml:space="preserve">FR-2.2</t>
  </si>
  <si>
    <t xml:space="preserve">US-11</t>
  </si>
  <si>
    <t xml:space="preserve">to search patients by ID, part of the name, or phone</t>
  </si>
  <si>
    <t xml:space="preserve">I can find a returning patient in seconds</t>
  </si>
  <si>
    <t xml:space="preserve">Partial name matches; no match prints a message, not an error</t>
  </si>
  <si>
    <t xml:space="preserve">FR-2.3</t>
  </si>
  <si>
    <t xml:space="preserve">US-12</t>
  </si>
  <si>
    <t xml:space="preserve">to list all patients in a formatted table</t>
  </si>
  <si>
    <t xml:space="preserve">I can see the register at a glance</t>
  </si>
  <si>
    <t xml:space="preserve">Columns aligned; long lists paged 20 at a time</t>
  </si>
  <si>
    <t xml:space="preserve">FR-2.4</t>
  </si>
  <si>
    <t xml:space="preserve">US-13</t>
  </si>
  <si>
    <t xml:space="preserve">to delete a patient only when they have no appointments</t>
  </si>
  <si>
    <t xml:space="preserve">history is never orphaned</t>
  </si>
  <si>
    <t xml:space="preserve">Delete with appointments is refused and explains why</t>
  </si>
  <si>
    <t xml:space="preserve">FR-2.5</t>
  </si>
  <si>
    <t xml:space="preserve">US-14</t>
  </si>
  <si>
    <t xml:space="preserve">doctor</t>
  </si>
  <si>
    <t xml:space="preserve">to see one patient's full visit history</t>
  </si>
  <si>
    <t xml:space="preserve">I know what was diagnosed before I treat them</t>
  </si>
  <si>
    <t xml:space="preserve">Visits listed newest first with doctor, diagnosis and total</t>
  </si>
  <si>
    <t xml:space="preserve">FR-2.6</t>
  </si>
  <si>
    <t xml:space="preserve">Sprint 3</t>
  </si>
  <si>
    <t xml:space="preserve">US-15</t>
  </si>
  <si>
    <t xml:space="preserve">Doctors</t>
  </si>
  <si>
    <t xml:space="preserve">to add, update and list departments</t>
  </si>
  <si>
    <t xml:space="preserve">doctors can be grouped and reported on by department</t>
  </si>
  <si>
    <t xml:space="preserve">Department name is unique; a department with doctors cannot be deleted</t>
  </si>
  <si>
    <t xml:space="preserve">FR-3.1</t>
  </si>
  <si>
    <t xml:space="preserve">Person 3</t>
  </si>
  <si>
    <t xml:space="preserve">US-16</t>
  </si>
  <si>
    <t xml:space="preserve">to register a doctor under a department with a consultation fee</t>
  </si>
  <si>
    <t xml:space="preserve">bookings can calculate a fee automatically</t>
  </si>
  <si>
    <t xml:space="preserve">Doctor ID follows D001; fee cannot be negative; department must exist</t>
  </si>
  <si>
    <t xml:space="preserve">FR-3.2</t>
  </si>
  <si>
    <t xml:space="preserve">US-17</t>
  </si>
  <si>
    <t xml:space="preserve">to search doctors by name, specialization or department</t>
  </si>
  <si>
    <t xml:space="preserve">I can find the right doctor for a patient's problem</t>
  </si>
  <si>
    <t xml:space="preserve">Search on any of the three fields returns matching active doctors</t>
  </si>
  <si>
    <t xml:space="preserve">FR-3.3</t>
  </si>
  <si>
    <t xml:space="preserve">US-18</t>
  </si>
  <si>
    <t xml:space="preserve">to deactivate a doctor rather than delete them</t>
  </si>
  <si>
    <t xml:space="preserve">past appointments keep a valid reference</t>
  </si>
  <si>
    <t xml:space="preserve">Deactivated doctor cannot be booked but still appears in old records and reports</t>
  </si>
  <si>
    <t xml:space="preserve">FR-3.4</t>
  </si>
  <si>
    <t xml:space="preserve">US-19</t>
  </si>
  <si>
    <t xml:space="preserve">to define each doctor's weekly shifts</t>
  </si>
  <si>
    <t xml:space="preserve">the system knows when a doctor is actually available</t>
  </si>
  <si>
    <t xml:space="preserve">Shift stores day, start, end and slot length; overlapping shifts are refused</t>
  </si>
  <si>
    <t xml:space="preserve">FR-3.5</t>
  </si>
  <si>
    <t xml:space="preserve">US-20</t>
  </si>
  <si>
    <t xml:space="preserve">Appointments</t>
  </si>
  <si>
    <t xml:space="preserve">to see the free time slots for a doctor on a date</t>
  </si>
  <si>
    <t xml:space="preserve">I can offer the patient a real choice instead of guessing</t>
  </si>
  <si>
    <t xml:space="preserve">Slots built from the shift minus booked times; no shift that weekday prints a clear message</t>
  </si>
  <si>
    <t xml:space="preserve">FR-4.1</t>
  </si>
  <si>
    <t xml:space="preserve">US-21</t>
  </si>
  <si>
    <t xml:space="preserve">to book an appointment into a free slot</t>
  </si>
  <si>
    <t xml:space="preserve">the visit is recorded with its fee</t>
  </si>
  <si>
    <t xml:space="preserve">Appointment saved with status Booked and the doctor's fee copied onto it</t>
  </si>
  <si>
    <t xml:space="preserve">FR-4.2</t>
  </si>
  <si>
    <t xml:space="preserve">Person 4</t>
  </si>
  <si>
    <t xml:space="preserve">US-22</t>
  </si>
  <si>
    <t xml:space="preserve">the system to refuse a slot already taken</t>
  </si>
  <si>
    <t xml:space="preserve">two patients never arrive for the same time</t>
  </si>
  <si>
    <t xml:space="preserve">Second booking refused; sqlite3.IntegrityError caught and shown as a sentence</t>
  </si>
  <si>
    <t xml:space="preserve">FR-4.3</t>
  </si>
  <si>
    <t xml:space="preserve">US-23</t>
  </si>
  <si>
    <t xml:space="preserve">the system to refuse past dates and non-working days</t>
  </si>
  <si>
    <t xml:space="preserve">the schedule stays realistic</t>
  </si>
  <si>
    <t xml:space="preserve">Yesterday refused; a day with no shift refused; today allowed only for later times</t>
  </si>
  <si>
    <t xml:space="preserve">FR-4.4</t>
  </si>
  <si>
    <t xml:space="preserve">US-24</t>
  </si>
  <si>
    <t xml:space="preserve">to cancel an appointment</t>
  </si>
  <si>
    <t xml:space="preserve">the slot can be given to someone else</t>
  </si>
  <si>
    <t xml:space="preserve">Status becomes Cancelled and the slot reappears as free; completed visits cannot be cancelled</t>
  </si>
  <si>
    <t xml:space="preserve">FR-4.5</t>
  </si>
  <si>
    <t xml:space="preserve">US-25</t>
  </si>
  <si>
    <t xml:space="preserve">to mark an appointment completed</t>
  </si>
  <si>
    <t xml:space="preserve">the visit moves on to its record and invoice</t>
  </si>
  <si>
    <t xml:space="preserve">Status becomes Completed and both the record and the invoice are created</t>
  </si>
  <si>
    <t xml:space="preserve">FR-4.6</t>
  </si>
  <si>
    <t xml:space="preserve">US-26</t>
  </si>
  <si>
    <t xml:space="preserve">to list appointments by date, doctor or patient</t>
  </si>
  <si>
    <t xml:space="preserve">I can answer questions at the desk immediately</t>
  </si>
  <si>
    <t xml:space="preserve">Each filter prints a formatted table; empty result prints a message</t>
  </si>
  <si>
    <t xml:space="preserve">FR-4.7</t>
  </si>
  <si>
    <t xml:space="preserve">US-27</t>
  </si>
  <si>
    <t xml:space="preserve">to mark a missed appointment as No-show</t>
  </si>
  <si>
    <t xml:space="preserve">statistics separate cancellations from people who did not arrive</t>
  </si>
  <si>
    <t xml:space="preserve">Status No-show; the visit appears in reports but creates no invoice</t>
  </si>
  <si>
    <t xml:space="preserve">FR-4.8</t>
  </si>
  <si>
    <t xml:space="preserve">US-28</t>
  </si>
  <si>
    <t xml:space="preserve">Records</t>
  </si>
  <si>
    <t xml:space="preserve">to write symptoms, diagnosis, treatment and a follow-up date</t>
  </si>
  <si>
    <t xml:space="preserve">the next visit starts from what happened last time</t>
  </si>
  <si>
    <t xml:space="preserve">One record per completed appointment, enforced by UNIQUE</t>
  </si>
  <si>
    <t xml:space="preserve">FR-5.1</t>
  </si>
  <si>
    <t xml:space="preserve">US-29</t>
  </si>
  <si>
    <t xml:space="preserve">to prescribe medicines from the stock list</t>
  </si>
  <si>
    <t xml:space="preserve">the patient leaves with the right medication on the receipt</t>
  </si>
  <si>
    <t xml:space="preserve">Prescription lines store quantity and the price at time of issue</t>
  </si>
  <si>
    <t xml:space="preserve">FR-5.2</t>
  </si>
  <si>
    <t xml:space="preserve">Sprint 4</t>
  </si>
  <si>
    <t xml:space="preserve">US-30</t>
  </si>
  <si>
    <t xml:space="preserve">pharmacist</t>
  </si>
  <si>
    <t xml:space="preserve">stock to fall automatically when medicine is prescribed</t>
  </si>
  <si>
    <t xml:space="preserve">the stock figure is always true</t>
  </si>
  <si>
    <t xml:space="preserve">Quantity above stock is refused and nothing is written</t>
  </si>
  <si>
    <t xml:space="preserve">FR-5.3</t>
  </si>
  <si>
    <t xml:space="preserve">US-31</t>
  </si>
  <si>
    <t xml:space="preserve">to be warned about low stock and near-expiry medicine</t>
  </si>
  <si>
    <t xml:space="preserve">we reorder before running out</t>
  </si>
  <si>
    <t xml:space="preserve">Warning when stock is at or below reorder level, or expiry is within 30 days</t>
  </si>
  <si>
    <t xml:space="preserve">FR-5.4</t>
  </si>
  <si>
    <t xml:space="preserve">US-32</t>
  </si>
  <si>
    <t xml:space="preserve">Billing</t>
  </si>
  <si>
    <t xml:space="preserve">an invoice created automatically when a visit is completed</t>
  </si>
  <si>
    <t xml:space="preserve">nobody adds up the bill by hand</t>
  </si>
  <si>
    <t xml:space="preserve">Consultation fee + medicines + $5 service charge − discount, stored on the invoice</t>
  </si>
  <si>
    <t xml:space="preserve">FR-6.1</t>
  </si>
  <si>
    <t xml:space="preserve">US-33</t>
  </si>
  <si>
    <t xml:space="preserve">patient</t>
  </si>
  <si>
    <t xml:space="preserve">the age discount applied automatically</t>
  </si>
  <si>
    <t xml:space="preserve">children and seniors are charged correctly every time</t>
  </si>
  <si>
    <t xml:space="preserve">10% off the consultation fee under 5 and over 60; zero otherwise</t>
  </si>
  <si>
    <t xml:space="preserve">FR-6.2</t>
  </si>
  <si>
    <t xml:space="preserve">US-34</t>
  </si>
  <si>
    <t xml:space="preserve">to mark an invoice Paid with a method and timestamp</t>
  </si>
  <si>
    <t xml:space="preserve">the day's takings can be reconciled</t>
  </si>
  <si>
    <t xml:space="preserve">Status Unpaid to Paid; paid_at recorded; an unpaid invoice appears in the unpaid report</t>
  </si>
  <si>
    <t xml:space="preserve">FR-6.3</t>
  </si>
  <si>
    <t xml:space="preserve">US-35</t>
  </si>
  <si>
    <t xml:space="preserve">a printed receipt for my visit</t>
  </si>
  <si>
    <t xml:space="preserve">I have proof of what I paid</t>
  </si>
  <si>
    <t xml:space="preserve">Receipt shows the breakdown, prints to screen and to data/receipts/&lt;id&gt;.txt</t>
  </si>
  <si>
    <t xml:space="preserve">FR-6.4</t>
  </si>
  <si>
    <t xml:space="preserve">US-36</t>
  </si>
  <si>
    <t xml:space="preserve">Reports</t>
  </si>
  <si>
    <t xml:space="preserve">today's appointment sheet</t>
  </si>
  <si>
    <t xml:space="preserve">the desk knows who is coming before the clinic opens</t>
  </si>
  <si>
    <t xml:space="preserve">Lists time, patient, doctor and status for the current date</t>
  </si>
  <si>
    <t xml:space="preserve">FR-7.1</t>
  </si>
  <si>
    <t xml:space="preserve">US-37</t>
  </si>
  <si>
    <t xml:space="preserve">income by doctor and by department for a date range</t>
  </si>
  <si>
    <t xml:space="preserve">I can see which part of the clinic earns what</t>
  </si>
  <si>
    <t xml:space="preserve">Totals match the sum of paid invoices in that range; exportable to CSV</t>
  </si>
  <si>
    <t xml:space="preserve">FR-7.2</t>
  </si>
  <si>
    <t xml:space="preserve">US-38</t>
  </si>
  <si>
    <t xml:space="preserve">to see the busiest doctor and the busiest weekday</t>
  </si>
  <si>
    <t xml:space="preserve">staffing can be planned from real numbers</t>
  </si>
  <si>
    <t xml:space="preserve">Ranked list built from completed appointments</t>
  </si>
  <si>
    <t xml:space="preserve">FR-7.3</t>
  </si>
  <si>
    <t xml:space="preserve">US-39</t>
  </si>
  <si>
    <t xml:space="preserve">a list of unpaid invoices</t>
  </si>
  <si>
    <t xml:space="preserve">no visit is forgotten at the cashier</t>
  </si>
  <si>
    <t xml:space="preserve">Lists invoice, patient, amount and days outstanding</t>
  </si>
  <si>
    <t xml:space="preserve">FR-7.4</t>
  </si>
  <si>
    <t xml:space="preserve">US-40</t>
  </si>
  <si>
    <t xml:space="preserve">an audit log of who changed what</t>
  </si>
  <si>
    <t xml:space="preserve">mistakes can be traced to a person and a time</t>
  </si>
  <si>
    <t xml:space="preserve">Every delete and deactivate writes a row with username, action and timestamp</t>
  </si>
  <si>
    <t xml:space="preserve">FR-7.6</t>
  </si>
  <si>
    <t xml:space="preserve">US-41</t>
  </si>
  <si>
    <t xml:space="preserve">Delivery</t>
  </si>
  <si>
    <t xml:space="preserve">team</t>
  </si>
  <si>
    <t xml:space="preserve">to run all 24 test cases and record the results</t>
  </si>
  <si>
    <t xml:space="preserve">the report shows the system was actually tested</t>
  </si>
  <si>
    <t xml:space="preserve">Every test case in the PRD has a pass or fail and a screenshot</t>
  </si>
  <si>
    <t xml:space="preserve">All</t>
  </si>
  <si>
    <t xml:space="preserve">US-42</t>
  </si>
  <si>
    <t xml:space="preserve">the report written in the required book format</t>
  </si>
  <si>
    <t xml:space="preserve">the submission meets the lecturer's formatting rules</t>
  </si>
  <si>
    <t xml:space="preserve">Cover to references in order; Times New Roman; margins 1.5/1.5/1.5/3 cm; spacing 1.15</t>
  </si>
  <si>
    <t xml:space="preserve">US-43</t>
  </si>
  <si>
    <t xml:space="preserve">10 to 15 slides and a rehearsed live demo</t>
  </si>
  <si>
    <t xml:space="preserve">the presentation runs without surprises</t>
  </si>
  <si>
    <t xml:space="preserve">Demo rehearsed twice on seeded data; every member can answer on their own module</t>
  </si>
  <si>
    <t xml:space="preserve">Total points</t>
  </si>
  <si>
    <t xml:space="preserve">Done points</t>
  </si>
  <si>
    <t xml:space="preserve">Complete</t>
  </si>
  <si>
    <t xml:space="preserve">Sprint plan</t>
  </si>
  <si>
    <t xml:space="preserve">Five weeks, four people. Planned, done and remaining points are calculated from the User Stories sheet.</t>
  </si>
  <si>
    <t xml:space="preserve">Goal</t>
  </si>
  <si>
    <t xml:space="preserve">Start</t>
  </si>
  <si>
    <t xml:space="preserve">End</t>
  </si>
  <si>
    <t xml:space="preserve">Weeks</t>
  </si>
  <si>
    <t xml:space="preserve">Capacity (pts)</t>
  </si>
  <si>
    <t xml:space="preserve">Planned (pts)</t>
  </si>
  <si>
    <t xml:space="preserve">Done (pts)</t>
  </si>
  <si>
    <t xml:space="preserve">Remaining</t>
  </si>
  <si>
    <t xml:space="preserve">% complete</t>
  </si>
  <si>
    <t xml:space="preserve">Load vs capacity</t>
  </si>
  <si>
    <t xml:space="preserve">Foundation: database, classes, login, menu skeleton</t>
  </si>
  <si>
    <t xml:space="preserve">28 Sep</t>
  </si>
  <si>
    <t xml:space="preserve">4 Oct</t>
  </si>
  <si>
    <t xml:space="preserve">Core records: patients, doctors, departments, first bookings</t>
  </si>
  <si>
    <t xml:space="preserve">5 Oct</t>
  </si>
  <si>
    <t xml:space="preserve">11 Oct</t>
  </si>
  <si>
    <t xml:space="preserve">Appointments, schedules, billing and records</t>
  </si>
  <si>
    <t xml:space="preserve">12 Oct</t>
  </si>
  <si>
    <t xml:space="preserve">16 Oct</t>
  </si>
  <si>
    <t xml:space="preserve">Bonus features, testing, report, slides, submission</t>
  </si>
  <si>
    <t xml:space="preserve">17 Oct</t>
  </si>
  <si>
    <t xml:space="preserve">21 Oct</t>
  </si>
  <si>
    <t xml:space="preserve">Total</t>
  </si>
  <si>
    <t xml:space="preserve">Points per person per sprint</t>
  </si>
  <si>
    <t xml:space="preserve">Person</t>
  </si>
  <si>
    <t xml:space="preserve">Capacity is an estimate: 4 people x about 10 points a week. Change the yellow cells once you know your real pace.</t>
  </si>
  <si>
    <t xml:space="preserve">Load above 100% means the sprint is overbooked: move a Could story to a later sprint or drop it.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</si>
</sst>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6" t="s">
        <v>3</v>
      </c>
      <c r="B6" s="4" t="s">
        <v>4</v>
      </c>
    </row>
    <row r="7" customFormat="false" ht="15" hidden="false" customHeight="false" outlineLevel="0" collapsed="false">
      <c r="A7" s="6" t="s">
        <v>5</v>
      </c>
      <c r="B7" s="4" t="s">
        <v>6</v>
      </c>
    </row>
    <row r="8" customFormat="false" ht="15" hidden="false" customHeight="false" outlineLevel="0" collapsed="false">
      <c r="A8" s="6" t="s">
        <v>7</v>
      </c>
      <c r="B8" s="4" t="s">
        <v>8</v>
      </c>
    </row>
    <row r="9" customFormat="false" ht="15" hidden="false" customHeight="false" outlineLevel="0" collapsed="false">
      <c r="A9" s="6" t="s">
        <v>9</v>
      </c>
      <c r="B9" s="4" t="s">
        <v>10</v>
      </c>
    </row>
    <row r="10" customFormat="false" ht="15" hidden="false" customHeight="false" outlineLevel="0" collapsed="false">
      <c r="A10" s="3"/>
      <c r="B10" s="4"/>
    </row>
    <row r="11" customFormat="false" ht="15" hidden="false" customHeight="false" outlineLevel="0" collapsed="false">
      <c r="A11" s="5" t="s">
        <v>11</v>
      </c>
      <c r="B11" s="4"/>
    </row>
    <row r="12" customFormat="false" ht="15" hidden="false" customHeight="false" outlineLevel="0" collapsed="false">
      <c r="A12" s="6" t="s">
        <v>3</v>
      </c>
      <c r="B12" s="4" t="s">
        <v>12</v>
      </c>
    </row>
    <row r="13" customFormat="false" ht="15" hidden="false" customHeight="false" outlineLevel="0" collapsed="false">
      <c r="A13" s="6" t="s">
        <v>5</v>
      </c>
      <c r="B13" s="4" t="s">
        <v>13</v>
      </c>
    </row>
    <row r="14" customFormat="false" ht="15" hidden="false" customHeight="false" outlineLevel="0" collapsed="false">
      <c r="A14" s="6" t="s">
        <v>7</v>
      </c>
      <c r="B14" s="4" t="s">
        <v>14</v>
      </c>
    </row>
    <row r="15" customFormat="false" ht="15" hidden="false" customHeight="false" outlineLevel="0" collapsed="false">
      <c r="A15" s="6" t="s">
        <v>15</v>
      </c>
      <c r="B15" s="4" t="s">
        <v>16</v>
      </c>
    </row>
    <row r="16" customFormat="false" ht="15" hidden="false" customHeight="false" outlineLevel="0" collapsed="false">
      <c r="A16" s="6" t="s">
        <v>17</v>
      </c>
      <c r="B16" s="4" t="s">
        <v>18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19</v>
      </c>
      <c r="B18" s="4"/>
    </row>
    <row r="19" customFormat="false" ht="15" hidden="false" customHeight="false" outlineLevel="0" collapsed="false">
      <c r="A19" s="6" t="s">
        <v>20</v>
      </c>
      <c r="B19" s="4" t="s">
        <v>21</v>
      </c>
    </row>
    <row r="20" customFormat="false" ht="15" hidden="false" customHeight="false" outlineLevel="0" collapsed="false">
      <c r="A20" s="6" t="s">
        <v>22</v>
      </c>
      <c r="B20" s="4" t="s">
        <v>23</v>
      </c>
    </row>
    <row r="21" customFormat="false" ht="15" hidden="false" customHeight="false" outlineLevel="0" collapsed="false">
      <c r="A21" s="6" t="s">
        <v>24</v>
      </c>
      <c r="B21" s="4" t="s">
        <v>25</v>
      </c>
    </row>
    <row r="22" customFormat="false" ht="15" hidden="false" customHeight="false" outlineLevel="0" collapsed="false">
      <c r="A22" s="3"/>
      <c r="B22" s="4"/>
    </row>
    <row r="23" customFormat="false" ht="15" hidden="false" customHeight="false" outlineLevel="0" collapsed="false">
      <c r="A23" s="5" t="s">
        <v>26</v>
      </c>
      <c r="B23" s="4"/>
    </row>
    <row r="24" customFormat="false" ht="15" hidden="false" customHeight="false" outlineLevel="0" collapsed="false">
      <c r="A24" s="6" t="s">
        <v>27</v>
      </c>
      <c r="B24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6"/>
    <col collapsed="false" customWidth="true" hidden="false" outlineLevel="0" max="8" min="7" style="0" width="9"/>
    <col collapsed="false" customWidth="true" hidden="false" outlineLevel="0" max="9" min="9" style="0" width="7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7" t="s">
        <v>30</v>
      </c>
    </row>
    <row r="4" customFormat="false" ht="26.85" hidden="false" customHeight="false" outlineLevel="0" collapsed="false">
      <c r="A4" s="8" t="s">
        <v>31</v>
      </c>
      <c r="B4" s="8" t="s">
        <v>32</v>
      </c>
      <c r="C4" s="8" t="s">
        <v>33</v>
      </c>
      <c r="D4" s="8" t="s">
        <v>34</v>
      </c>
      <c r="E4" s="8" t="s">
        <v>35</v>
      </c>
      <c r="F4" s="8" t="s">
        <v>36</v>
      </c>
      <c r="G4" s="8" t="s">
        <v>37</v>
      </c>
      <c r="H4" s="8" t="s">
        <v>38</v>
      </c>
      <c r="I4" s="8" t="s">
        <v>39</v>
      </c>
      <c r="J4" s="8" t="s">
        <v>40</v>
      </c>
      <c r="K4" s="8" t="s">
        <v>41</v>
      </c>
      <c r="L4" s="8" t="s">
        <v>42</v>
      </c>
    </row>
    <row r="5" customFormat="false" ht="42" hidden="false" customHeight="true" outlineLevel="0" collapsed="false">
      <c r="A5" s="9" t="s">
        <v>43</v>
      </c>
      <c r="B5" s="9" t="s">
        <v>44</v>
      </c>
      <c r="C5" s="10" t="s">
        <v>45</v>
      </c>
      <c r="D5" s="10" t="s">
        <v>46</v>
      </c>
      <c r="E5" s="10" t="s">
        <v>47</v>
      </c>
      <c r="F5" s="10" t="s">
        <v>48</v>
      </c>
      <c r="G5" s="11" t="s">
        <v>49</v>
      </c>
      <c r="H5" s="11" t="s">
        <v>20</v>
      </c>
      <c r="I5" s="12" t="n">
        <v>3</v>
      </c>
      <c r="J5" s="12" t="s">
        <v>50</v>
      </c>
      <c r="K5" s="12" t="s">
        <v>51</v>
      </c>
      <c r="L5" s="13" t="s">
        <v>52</v>
      </c>
    </row>
    <row r="6" customFormat="false" ht="42" hidden="false" customHeight="true" outlineLevel="0" collapsed="false">
      <c r="A6" s="9" t="s">
        <v>53</v>
      </c>
      <c r="B6" s="9" t="s">
        <v>44</v>
      </c>
      <c r="C6" s="10" t="s">
        <v>45</v>
      </c>
      <c r="D6" s="10" t="s">
        <v>54</v>
      </c>
      <c r="E6" s="10" t="s">
        <v>55</v>
      </c>
      <c r="F6" s="10" t="s">
        <v>56</v>
      </c>
      <c r="G6" s="11" t="s">
        <v>49</v>
      </c>
      <c r="H6" s="11" t="s">
        <v>20</v>
      </c>
      <c r="I6" s="12" t="n">
        <v>2</v>
      </c>
      <c r="J6" s="12" t="s">
        <v>50</v>
      </c>
      <c r="K6" s="12" t="s">
        <v>51</v>
      </c>
      <c r="L6" s="13" t="s">
        <v>52</v>
      </c>
    </row>
    <row r="7" customFormat="false" ht="42" hidden="false" customHeight="true" outlineLevel="0" collapsed="false">
      <c r="A7" s="9" t="s">
        <v>57</v>
      </c>
      <c r="B7" s="9" t="s">
        <v>44</v>
      </c>
      <c r="C7" s="10" t="s">
        <v>45</v>
      </c>
      <c r="D7" s="10" t="s">
        <v>58</v>
      </c>
      <c r="E7" s="10" t="s">
        <v>59</v>
      </c>
      <c r="F7" s="10" t="s">
        <v>60</v>
      </c>
      <c r="G7" s="11" t="s">
        <v>49</v>
      </c>
      <c r="H7" s="11" t="s">
        <v>20</v>
      </c>
      <c r="I7" s="12" t="n">
        <v>5</v>
      </c>
      <c r="J7" s="12" t="s">
        <v>50</v>
      </c>
      <c r="K7" s="12" t="s">
        <v>51</v>
      </c>
      <c r="L7" s="13" t="s">
        <v>52</v>
      </c>
    </row>
    <row r="8" customFormat="false" ht="42" hidden="false" customHeight="true" outlineLevel="0" collapsed="false">
      <c r="A8" s="9" t="s">
        <v>61</v>
      </c>
      <c r="B8" s="9" t="s">
        <v>44</v>
      </c>
      <c r="C8" s="10" t="s">
        <v>45</v>
      </c>
      <c r="D8" s="10" t="s">
        <v>62</v>
      </c>
      <c r="E8" s="10" t="s">
        <v>63</v>
      </c>
      <c r="F8" s="10" t="s">
        <v>64</v>
      </c>
      <c r="G8" s="11" t="s">
        <v>49</v>
      </c>
      <c r="H8" s="11" t="s">
        <v>20</v>
      </c>
      <c r="I8" s="12" t="n">
        <v>3</v>
      </c>
      <c r="J8" s="12" t="s">
        <v>65</v>
      </c>
      <c r="K8" s="12" t="s">
        <v>51</v>
      </c>
      <c r="L8" s="13" t="s">
        <v>52</v>
      </c>
    </row>
    <row r="9" customFormat="false" ht="42" hidden="false" customHeight="true" outlineLevel="0" collapsed="false">
      <c r="A9" s="9" t="s">
        <v>66</v>
      </c>
      <c r="B9" s="9" t="s">
        <v>44</v>
      </c>
      <c r="C9" s="10" t="s">
        <v>45</v>
      </c>
      <c r="D9" s="10" t="s">
        <v>67</v>
      </c>
      <c r="E9" s="10" t="s">
        <v>68</v>
      </c>
      <c r="F9" s="10" t="s">
        <v>69</v>
      </c>
      <c r="G9" s="11" t="s">
        <v>49</v>
      </c>
      <c r="H9" s="11" t="s">
        <v>20</v>
      </c>
      <c r="I9" s="12" t="n">
        <v>3</v>
      </c>
      <c r="J9" s="12" t="s">
        <v>65</v>
      </c>
      <c r="K9" s="12" t="s">
        <v>51</v>
      </c>
      <c r="L9" s="13" t="s">
        <v>52</v>
      </c>
    </row>
    <row r="10" customFormat="false" ht="42" hidden="false" customHeight="true" outlineLevel="0" collapsed="false">
      <c r="A10" s="9" t="s">
        <v>70</v>
      </c>
      <c r="B10" s="9" t="s">
        <v>71</v>
      </c>
      <c r="C10" s="10" t="s">
        <v>72</v>
      </c>
      <c r="D10" s="10" t="s">
        <v>73</v>
      </c>
      <c r="E10" s="10" t="s">
        <v>74</v>
      </c>
      <c r="F10" s="10" t="s">
        <v>75</v>
      </c>
      <c r="G10" s="11" t="s">
        <v>76</v>
      </c>
      <c r="H10" s="11" t="s">
        <v>20</v>
      </c>
      <c r="I10" s="12" t="n">
        <v>3</v>
      </c>
      <c r="J10" s="12" t="s">
        <v>50</v>
      </c>
      <c r="K10" s="12" t="s">
        <v>51</v>
      </c>
      <c r="L10" s="13" t="s">
        <v>52</v>
      </c>
    </row>
    <row r="11" customFormat="false" ht="42" hidden="false" customHeight="true" outlineLevel="0" collapsed="false">
      <c r="A11" s="9" t="s">
        <v>77</v>
      </c>
      <c r="B11" s="9" t="s">
        <v>71</v>
      </c>
      <c r="C11" s="10" t="s">
        <v>78</v>
      </c>
      <c r="D11" s="10" t="s">
        <v>79</v>
      </c>
      <c r="E11" s="10" t="s">
        <v>80</v>
      </c>
      <c r="F11" s="10" t="s">
        <v>81</v>
      </c>
      <c r="G11" s="11" t="s">
        <v>82</v>
      </c>
      <c r="H11" s="11" t="s">
        <v>20</v>
      </c>
      <c r="I11" s="12" t="n">
        <v>3</v>
      </c>
      <c r="J11" s="12" t="s">
        <v>50</v>
      </c>
      <c r="K11" s="12" t="s">
        <v>51</v>
      </c>
      <c r="L11" s="13" t="s">
        <v>52</v>
      </c>
    </row>
    <row r="12" customFormat="false" ht="42" hidden="false" customHeight="true" outlineLevel="0" collapsed="false">
      <c r="A12" s="9" t="s">
        <v>83</v>
      </c>
      <c r="B12" s="9" t="s">
        <v>71</v>
      </c>
      <c r="C12" s="10" t="s">
        <v>84</v>
      </c>
      <c r="D12" s="10" t="s">
        <v>85</v>
      </c>
      <c r="E12" s="10" t="s">
        <v>86</v>
      </c>
      <c r="F12" s="10" t="s">
        <v>87</v>
      </c>
      <c r="G12" s="11" t="s">
        <v>88</v>
      </c>
      <c r="H12" s="11" t="s">
        <v>22</v>
      </c>
      <c r="I12" s="12" t="n">
        <v>3</v>
      </c>
      <c r="J12" s="12" t="s">
        <v>50</v>
      </c>
      <c r="K12" s="12" t="s">
        <v>89</v>
      </c>
      <c r="L12" s="13" t="s">
        <v>52</v>
      </c>
    </row>
    <row r="13" customFormat="false" ht="42" hidden="false" customHeight="true" outlineLevel="0" collapsed="false">
      <c r="A13" s="9" t="s">
        <v>90</v>
      </c>
      <c r="B13" s="9" t="s">
        <v>91</v>
      </c>
      <c r="C13" s="10" t="s">
        <v>92</v>
      </c>
      <c r="D13" s="10" t="s">
        <v>93</v>
      </c>
      <c r="E13" s="10" t="s">
        <v>94</v>
      </c>
      <c r="F13" s="10" t="s">
        <v>95</v>
      </c>
      <c r="G13" s="11" t="s">
        <v>96</v>
      </c>
      <c r="H13" s="11" t="s">
        <v>20</v>
      </c>
      <c r="I13" s="12" t="n">
        <v>3</v>
      </c>
      <c r="J13" s="12" t="s">
        <v>65</v>
      </c>
      <c r="K13" s="12" t="s">
        <v>89</v>
      </c>
      <c r="L13" s="13" t="s">
        <v>52</v>
      </c>
    </row>
    <row r="14" customFormat="false" ht="42" hidden="false" customHeight="true" outlineLevel="0" collapsed="false">
      <c r="A14" s="9" t="s">
        <v>97</v>
      </c>
      <c r="B14" s="9" t="s">
        <v>91</v>
      </c>
      <c r="C14" s="10" t="s">
        <v>92</v>
      </c>
      <c r="D14" s="10" t="s">
        <v>98</v>
      </c>
      <c r="E14" s="10" t="s">
        <v>99</v>
      </c>
      <c r="F14" s="10" t="s">
        <v>100</v>
      </c>
      <c r="G14" s="11" t="s">
        <v>101</v>
      </c>
      <c r="H14" s="11" t="s">
        <v>20</v>
      </c>
      <c r="I14" s="12" t="n">
        <v>2</v>
      </c>
      <c r="J14" s="12" t="s">
        <v>65</v>
      </c>
      <c r="K14" s="12" t="s">
        <v>89</v>
      </c>
      <c r="L14" s="13" t="s">
        <v>52</v>
      </c>
    </row>
    <row r="15" customFormat="false" ht="42" hidden="false" customHeight="true" outlineLevel="0" collapsed="false">
      <c r="A15" s="9" t="s">
        <v>102</v>
      </c>
      <c r="B15" s="9" t="s">
        <v>91</v>
      </c>
      <c r="C15" s="10" t="s">
        <v>92</v>
      </c>
      <c r="D15" s="10" t="s">
        <v>103</v>
      </c>
      <c r="E15" s="10" t="s">
        <v>104</v>
      </c>
      <c r="F15" s="10" t="s">
        <v>105</v>
      </c>
      <c r="G15" s="11" t="s">
        <v>106</v>
      </c>
      <c r="H15" s="11" t="s">
        <v>20</v>
      </c>
      <c r="I15" s="12" t="n">
        <v>3</v>
      </c>
      <c r="J15" s="12" t="s">
        <v>65</v>
      </c>
      <c r="K15" s="12" t="s">
        <v>89</v>
      </c>
      <c r="L15" s="13" t="s">
        <v>52</v>
      </c>
    </row>
    <row r="16" customFormat="false" ht="42" hidden="false" customHeight="true" outlineLevel="0" collapsed="false">
      <c r="A16" s="9" t="s">
        <v>107</v>
      </c>
      <c r="B16" s="9" t="s">
        <v>91</v>
      </c>
      <c r="C16" s="10" t="s">
        <v>92</v>
      </c>
      <c r="D16" s="10" t="s">
        <v>108</v>
      </c>
      <c r="E16" s="10" t="s">
        <v>109</v>
      </c>
      <c r="F16" s="10" t="s">
        <v>110</v>
      </c>
      <c r="G16" s="11" t="s">
        <v>111</v>
      </c>
      <c r="H16" s="11" t="s">
        <v>20</v>
      </c>
      <c r="I16" s="12" t="n">
        <v>2</v>
      </c>
      <c r="J16" s="12" t="s">
        <v>65</v>
      </c>
      <c r="K16" s="12" t="s">
        <v>89</v>
      </c>
      <c r="L16" s="13" t="s">
        <v>52</v>
      </c>
    </row>
    <row r="17" customFormat="false" ht="42" hidden="false" customHeight="true" outlineLevel="0" collapsed="false">
      <c r="A17" s="9" t="s">
        <v>112</v>
      </c>
      <c r="B17" s="9" t="s">
        <v>91</v>
      </c>
      <c r="C17" s="10" t="s">
        <v>84</v>
      </c>
      <c r="D17" s="10" t="s">
        <v>113</v>
      </c>
      <c r="E17" s="10" t="s">
        <v>114</v>
      </c>
      <c r="F17" s="10" t="s">
        <v>115</v>
      </c>
      <c r="G17" s="11" t="s">
        <v>116</v>
      </c>
      <c r="H17" s="11" t="s">
        <v>20</v>
      </c>
      <c r="I17" s="12" t="n">
        <v>2</v>
      </c>
      <c r="J17" s="12" t="s">
        <v>65</v>
      </c>
      <c r="K17" s="12" t="s">
        <v>89</v>
      </c>
      <c r="L17" s="13" t="s">
        <v>52</v>
      </c>
    </row>
    <row r="18" customFormat="false" ht="42" hidden="false" customHeight="true" outlineLevel="0" collapsed="false">
      <c r="A18" s="9" t="s">
        <v>117</v>
      </c>
      <c r="B18" s="9" t="s">
        <v>91</v>
      </c>
      <c r="C18" s="10" t="s">
        <v>118</v>
      </c>
      <c r="D18" s="10" t="s">
        <v>119</v>
      </c>
      <c r="E18" s="10" t="s">
        <v>120</v>
      </c>
      <c r="F18" s="10" t="s">
        <v>121</v>
      </c>
      <c r="G18" s="11" t="s">
        <v>122</v>
      </c>
      <c r="H18" s="11" t="s">
        <v>22</v>
      </c>
      <c r="I18" s="12" t="n">
        <v>3</v>
      </c>
      <c r="J18" s="12" t="s">
        <v>65</v>
      </c>
      <c r="K18" s="12" t="s">
        <v>123</v>
      </c>
      <c r="L18" s="13" t="s">
        <v>52</v>
      </c>
    </row>
    <row r="19" customFormat="false" ht="42" hidden="false" customHeight="true" outlineLevel="0" collapsed="false">
      <c r="A19" s="9" t="s">
        <v>124</v>
      </c>
      <c r="B19" s="9" t="s">
        <v>125</v>
      </c>
      <c r="C19" s="10" t="s">
        <v>84</v>
      </c>
      <c r="D19" s="10" t="s">
        <v>126</v>
      </c>
      <c r="E19" s="10" t="s">
        <v>127</v>
      </c>
      <c r="F19" s="10" t="s">
        <v>128</v>
      </c>
      <c r="G19" s="11" t="s">
        <v>129</v>
      </c>
      <c r="H19" s="11" t="s">
        <v>20</v>
      </c>
      <c r="I19" s="12" t="n">
        <v>2</v>
      </c>
      <c r="J19" s="12" t="s">
        <v>130</v>
      </c>
      <c r="K19" s="12" t="s">
        <v>89</v>
      </c>
      <c r="L19" s="13" t="s">
        <v>52</v>
      </c>
    </row>
    <row r="20" customFormat="false" ht="42" hidden="false" customHeight="true" outlineLevel="0" collapsed="false">
      <c r="A20" s="9" t="s">
        <v>131</v>
      </c>
      <c r="B20" s="9" t="s">
        <v>125</v>
      </c>
      <c r="C20" s="10" t="s">
        <v>84</v>
      </c>
      <c r="D20" s="10" t="s">
        <v>132</v>
      </c>
      <c r="E20" s="10" t="s">
        <v>133</v>
      </c>
      <c r="F20" s="10" t="s">
        <v>134</v>
      </c>
      <c r="G20" s="11" t="s">
        <v>135</v>
      </c>
      <c r="H20" s="11" t="s">
        <v>20</v>
      </c>
      <c r="I20" s="12" t="n">
        <v>3</v>
      </c>
      <c r="J20" s="12" t="s">
        <v>130</v>
      </c>
      <c r="K20" s="12" t="s">
        <v>89</v>
      </c>
      <c r="L20" s="13" t="s">
        <v>52</v>
      </c>
    </row>
    <row r="21" customFormat="false" ht="42" hidden="false" customHeight="true" outlineLevel="0" collapsed="false">
      <c r="A21" s="9" t="s">
        <v>136</v>
      </c>
      <c r="B21" s="9" t="s">
        <v>125</v>
      </c>
      <c r="C21" s="10" t="s">
        <v>92</v>
      </c>
      <c r="D21" s="10" t="s">
        <v>137</v>
      </c>
      <c r="E21" s="10" t="s">
        <v>138</v>
      </c>
      <c r="F21" s="10" t="s">
        <v>139</v>
      </c>
      <c r="G21" s="11" t="s">
        <v>140</v>
      </c>
      <c r="H21" s="11" t="s">
        <v>20</v>
      </c>
      <c r="I21" s="12" t="n">
        <v>2</v>
      </c>
      <c r="J21" s="12" t="s">
        <v>130</v>
      </c>
      <c r="K21" s="12" t="s">
        <v>89</v>
      </c>
      <c r="L21" s="13" t="s">
        <v>52</v>
      </c>
    </row>
    <row r="22" customFormat="false" ht="42" hidden="false" customHeight="true" outlineLevel="0" collapsed="false">
      <c r="A22" s="9" t="s">
        <v>141</v>
      </c>
      <c r="B22" s="9" t="s">
        <v>125</v>
      </c>
      <c r="C22" s="10" t="s">
        <v>84</v>
      </c>
      <c r="D22" s="10" t="s">
        <v>142</v>
      </c>
      <c r="E22" s="10" t="s">
        <v>143</v>
      </c>
      <c r="F22" s="10" t="s">
        <v>144</v>
      </c>
      <c r="G22" s="11" t="s">
        <v>145</v>
      </c>
      <c r="H22" s="11" t="s">
        <v>20</v>
      </c>
      <c r="I22" s="12" t="n">
        <v>2</v>
      </c>
      <c r="J22" s="12" t="s">
        <v>130</v>
      </c>
      <c r="K22" s="12" t="s">
        <v>89</v>
      </c>
      <c r="L22" s="13" t="s">
        <v>52</v>
      </c>
    </row>
    <row r="23" customFormat="false" ht="42" hidden="false" customHeight="true" outlineLevel="0" collapsed="false">
      <c r="A23" s="9" t="s">
        <v>146</v>
      </c>
      <c r="B23" s="9" t="s">
        <v>125</v>
      </c>
      <c r="C23" s="10" t="s">
        <v>84</v>
      </c>
      <c r="D23" s="10" t="s">
        <v>147</v>
      </c>
      <c r="E23" s="10" t="s">
        <v>148</v>
      </c>
      <c r="F23" s="10" t="s">
        <v>149</v>
      </c>
      <c r="G23" s="11" t="s">
        <v>150</v>
      </c>
      <c r="H23" s="11" t="s">
        <v>20</v>
      </c>
      <c r="I23" s="12" t="n">
        <v>5</v>
      </c>
      <c r="J23" s="12" t="s">
        <v>130</v>
      </c>
      <c r="K23" s="12" t="s">
        <v>123</v>
      </c>
      <c r="L23" s="13" t="s">
        <v>52</v>
      </c>
    </row>
    <row r="24" customFormat="false" ht="42" hidden="false" customHeight="true" outlineLevel="0" collapsed="false">
      <c r="A24" s="9" t="s">
        <v>151</v>
      </c>
      <c r="B24" s="9" t="s">
        <v>152</v>
      </c>
      <c r="C24" s="10" t="s">
        <v>92</v>
      </c>
      <c r="D24" s="10" t="s">
        <v>153</v>
      </c>
      <c r="E24" s="10" t="s">
        <v>154</v>
      </c>
      <c r="F24" s="10" t="s">
        <v>155</v>
      </c>
      <c r="G24" s="11" t="s">
        <v>156</v>
      </c>
      <c r="H24" s="11" t="s">
        <v>20</v>
      </c>
      <c r="I24" s="12" t="n">
        <v>8</v>
      </c>
      <c r="J24" s="12" t="s">
        <v>130</v>
      </c>
      <c r="K24" s="12" t="s">
        <v>123</v>
      </c>
      <c r="L24" s="13" t="s">
        <v>52</v>
      </c>
    </row>
    <row r="25" customFormat="false" ht="42" hidden="false" customHeight="true" outlineLevel="0" collapsed="false">
      <c r="A25" s="9" t="s">
        <v>157</v>
      </c>
      <c r="B25" s="9" t="s">
        <v>152</v>
      </c>
      <c r="C25" s="10" t="s">
        <v>92</v>
      </c>
      <c r="D25" s="10" t="s">
        <v>158</v>
      </c>
      <c r="E25" s="10" t="s">
        <v>159</v>
      </c>
      <c r="F25" s="10" t="s">
        <v>160</v>
      </c>
      <c r="G25" s="11" t="s">
        <v>161</v>
      </c>
      <c r="H25" s="11" t="s">
        <v>20</v>
      </c>
      <c r="I25" s="12" t="n">
        <v>5</v>
      </c>
      <c r="J25" s="12" t="s">
        <v>162</v>
      </c>
      <c r="K25" s="12" t="s">
        <v>89</v>
      </c>
      <c r="L25" s="13" t="s">
        <v>52</v>
      </c>
    </row>
    <row r="26" customFormat="false" ht="42" hidden="false" customHeight="true" outlineLevel="0" collapsed="false">
      <c r="A26" s="9" t="s">
        <v>163</v>
      </c>
      <c r="B26" s="9" t="s">
        <v>152</v>
      </c>
      <c r="C26" s="10" t="s">
        <v>92</v>
      </c>
      <c r="D26" s="10" t="s">
        <v>164</v>
      </c>
      <c r="E26" s="10" t="s">
        <v>165</v>
      </c>
      <c r="F26" s="10" t="s">
        <v>166</v>
      </c>
      <c r="G26" s="11" t="s">
        <v>167</v>
      </c>
      <c r="H26" s="11" t="s">
        <v>20</v>
      </c>
      <c r="I26" s="12" t="n">
        <v>3</v>
      </c>
      <c r="J26" s="12" t="s">
        <v>162</v>
      </c>
      <c r="K26" s="12" t="s">
        <v>89</v>
      </c>
      <c r="L26" s="13" t="s">
        <v>52</v>
      </c>
    </row>
    <row r="27" customFormat="false" ht="42" hidden="false" customHeight="true" outlineLevel="0" collapsed="false">
      <c r="A27" s="9" t="s">
        <v>168</v>
      </c>
      <c r="B27" s="9" t="s">
        <v>152</v>
      </c>
      <c r="C27" s="10" t="s">
        <v>92</v>
      </c>
      <c r="D27" s="10" t="s">
        <v>169</v>
      </c>
      <c r="E27" s="10" t="s">
        <v>170</v>
      </c>
      <c r="F27" s="10" t="s">
        <v>171</v>
      </c>
      <c r="G27" s="11" t="s">
        <v>172</v>
      </c>
      <c r="H27" s="11" t="s">
        <v>20</v>
      </c>
      <c r="I27" s="12" t="n">
        <v>3</v>
      </c>
      <c r="J27" s="12" t="s">
        <v>162</v>
      </c>
      <c r="K27" s="12" t="s">
        <v>123</v>
      </c>
      <c r="L27" s="13" t="s">
        <v>52</v>
      </c>
    </row>
    <row r="28" customFormat="false" ht="42" hidden="false" customHeight="true" outlineLevel="0" collapsed="false">
      <c r="A28" s="9" t="s">
        <v>173</v>
      </c>
      <c r="B28" s="9" t="s">
        <v>152</v>
      </c>
      <c r="C28" s="10" t="s">
        <v>92</v>
      </c>
      <c r="D28" s="10" t="s">
        <v>174</v>
      </c>
      <c r="E28" s="10" t="s">
        <v>175</v>
      </c>
      <c r="F28" s="10" t="s">
        <v>176</v>
      </c>
      <c r="G28" s="11" t="s">
        <v>177</v>
      </c>
      <c r="H28" s="11" t="s">
        <v>20</v>
      </c>
      <c r="I28" s="12" t="n">
        <v>2</v>
      </c>
      <c r="J28" s="12" t="s">
        <v>162</v>
      </c>
      <c r="K28" s="12" t="s">
        <v>123</v>
      </c>
      <c r="L28" s="13" t="s">
        <v>52</v>
      </c>
    </row>
    <row r="29" customFormat="false" ht="42" hidden="false" customHeight="true" outlineLevel="0" collapsed="false">
      <c r="A29" s="9" t="s">
        <v>178</v>
      </c>
      <c r="B29" s="9" t="s">
        <v>152</v>
      </c>
      <c r="C29" s="10" t="s">
        <v>118</v>
      </c>
      <c r="D29" s="10" t="s">
        <v>179</v>
      </c>
      <c r="E29" s="10" t="s">
        <v>180</v>
      </c>
      <c r="F29" s="10" t="s">
        <v>181</v>
      </c>
      <c r="G29" s="11" t="s">
        <v>182</v>
      </c>
      <c r="H29" s="11" t="s">
        <v>20</v>
      </c>
      <c r="I29" s="12" t="n">
        <v>3</v>
      </c>
      <c r="J29" s="12" t="s">
        <v>162</v>
      </c>
      <c r="K29" s="12" t="s">
        <v>123</v>
      </c>
      <c r="L29" s="13" t="s">
        <v>52</v>
      </c>
    </row>
    <row r="30" customFormat="false" ht="42" hidden="false" customHeight="true" outlineLevel="0" collapsed="false">
      <c r="A30" s="9" t="s">
        <v>183</v>
      </c>
      <c r="B30" s="9" t="s">
        <v>152</v>
      </c>
      <c r="C30" s="10" t="s">
        <v>92</v>
      </c>
      <c r="D30" s="10" t="s">
        <v>184</v>
      </c>
      <c r="E30" s="10" t="s">
        <v>185</v>
      </c>
      <c r="F30" s="10" t="s">
        <v>186</v>
      </c>
      <c r="G30" s="11" t="s">
        <v>187</v>
      </c>
      <c r="H30" s="11" t="s">
        <v>20</v>
      </c>
      <c r="I30" s="12" t="n">
        <v>3</v>
      </c>
      <c r="J30" s="12" t="s">
        <v>162</v>
      </c>
      <c r="K30" s="12" t="s">
        <v>123</v>
      </c>
      <c r="L30" s="13" t="s">
        <v>52</v>
      </c>
    </row>
    <row r="31" customFormat="false" ht="42" hidden="false" customHeight="true" outlineLevel="0" collapsed="false">
      <c r="A31" s="9" t="s">
        <v>188</v>
      </c>
      <c r="B31" s="9" t="s">
        <v>152</v>
      </c>
      <c r="C31" s="10" t="s">
        <v>92</v>
      </c>
      <c r="D31" s="10" t="s">
        <v>189</v>
      </c>
      <c r="E31" s="10" t="s">
        <v>190</v>
      </c>
      <c r="F31" s="10" t="s">
        <v>191</v>
      </c>
      <c r="G31" s="11" t="s">
        <v>192</v>
      </c>
      <c r="H31" s="11" t="s">
        <v>22</v>
      </c>
      <c r="I31" s="12" t="n">
        <v>1</v>
      </c>
      <c r="J31" s="12" t="s">
        <v>162</v>
      </c>
      <c r="K31" s="12" t="s">
        <v>123</v>
      </c>
      <c r="L31" s="13" t="s">
        <v>52</v>
      </c>
    </row>
    <row r="32" customFormat="false" ht="42" hidden="false" customHeight="true" outlineLevel="0" collapsed="false">
      <c r="A32" s="9" t="s">
        <v>193</v>
      </c>
      <c r="B32" s="9" t="s">
        <v>194</v>
      </c>
      <c r="C32" s="10" t="s">
        <v>118</v>
      </c>
      <c r="D32" s="10" t="s">
        <v>195</v>
      </c>
      <c r="E32" s="10" t="s">
        <v>196</v>
      </c>
      <c r="F32" s="10" t="s">
        <v>197</v>
      </c>
      <c r="G32" s="11" t="s">
        <v>198</v>
      </c>
      <c r="H32" s="11" t="s">
        <v>20</v>
      </c>
      <c r="I32" s="12" t="n">
        <v>3</v>
      </c>
      <c r="J32" s="12" t="s">
        <v>162</v>
      </c>
      <c r="K32" s="12" t="s">
        <v>123</v>
      </c>
      <c r="L32" s="13" t="s">
        <v>52</v>
      </c>
    </row>
    <row r="33" customFormat="false" ht="42" hidden="false" customHeight="true" outlineLevel="0" collapsed="false">
      <c r="A33" s="9" t="s">
        <v>199</v>
      </c>
      <c r="B33" s="9" t="s">
        <v>194</v>
      </c>
      <c r="C33" s="10" t="s">
        <v>118</v>
      </c>
      <c r="D33" s="10" t="s">
        <v>200</v>
      </c>
      <c r="E33" s="10" t="s">
        <v>201</v>
      </c>
      <c r="F33" s="10" t="s">
        <v>202</v>
      </c>
      <c r="G33" s="11" t="s">
        <v>203</v>
      </c>
      <c r="H33" s="11" t="s">
        <v>24</v>
      </c>
      <c r="I33" s="12" t="n">
        <v>5</v>
      </c>
      <c r="J33" s="12" t="s">
        <v>162</v>
      </c>
      <c r="K33" s="12" t="s">
        <v>204</v>
      </c>
      <c r="L33" s="13" t="s">
        <v>52</v>
      </c>
    </row>
    <row r="34" customFormat="false" ht="42" hidden="false" customHeight="true" outlineLevel="0" collapsed="false">
      <c r="A34" s="9" t="s">
        <v>205</v>
      </c>
      <c r="B34" s="9" t="s">
        <v>194</v>
      </c>
      <c r="C34" s="10" t="s">
        <v>206</v>
      </c>
      <c r="D34" s="10" t="s">
        <v>207</v>
      </c>
      <c r="E34" s="10" t="s">
        <v>208</v>
      </c>
      <c r="F34" s="10" t="s">
        <v>209</v>
      </c>
      <c r="G34" s="11" t="s">
        <v>210</v>
      </c>
      <c r="H34" s="11" t="s">
        <v>24</v>
      </c>
      <c r="I34" s="12" t="n">
        <v>3</v>
      </c>
      <c r="J34" s="12" t="s">
        <v>162</v>
      </c>
      <c r="K34" s="12" t="s">
        <v>204</v>
      </c>
      <c r="L34" s="13" t="s">
        <v>52</v>
      </c>
    </row>
    <row r="35" customFormat="false" ht="42" hidden="false" customHeight="true" outlineLevel="0" collapsed="false">
      <c r="A35" s="9" t="s">
        <v>211</v>
      </c>
      <c r="B35" s="9" t="s">
        <v>194</v>
      </c>
      <c r="C35" s="10" t="s">
        <v>84</v>
      </c>
      <c r="D35" s="10" t="s">
        <v>212</v>
      </c>
      <c r="E35" s="10" t="s">
        <v>213</v>
      </c>
      <c r="F35" s="10" t="s">
        <v>214</v>
      </c>
      <c r="G35" s="11" t="s">
        <v>215</v>
      </c>
      <c r="H35" s="11" t="s">
        <v>24</v>
      </c>
      <c r="I35" s="12" t="n">
        <v>2</v>
      </c>
      <c r="J35" s="12" t="s">
        <v>130</v>
      </c>
      <c r="K35" s="12" t="s">
        <v>204</v>
      </c>
      <c r="L35" s="13" t="s">
        <v>52</v>
      </c>
    </row>
    <row r="36" customFormat="false" ht="42" hidden="false" customHeight="true" outlineLevel="0" collapsed="false">
      <c r="A36" s="9" t="s">
        <v>216</v>
      </c>
      <c r="B36" s="9" t="s">
        <v>217</v>
      </c>
      <c r="C36" s="10" t="s">
        <v>92</v>
      </c>
      <c r="D36" s="10" t="s">
        <v>218</v>
      </c>
      <c r="E36" s="10" t="s">
        <v>219</v>
      </c>
      <c r="F36" s="10" t="s">
        <v>220</v>
      </c>
      <c r="G36" s="11" t="s">
        <v>221</v>
      </c>
      <c r="H36" s="11" t="s">
        <v>20</v>
      </c>
      <c r="I36" s="12" t="n">
        <v>5</v>
      </c>
      <c r="J36" s="12" t="s">
        <v>162</v>
      </c>
      <c r="K36" s="12" t="s">
        <v>123</v>
      </c>
      <c r="L36" s="13" t="s">
        <v>52</v>
      </c>
    </row>
    <row r="37" customFormat="false" ht="42" hidden="false" customHeight="true" outlineLevel="0" collapsed="false">
      <c r="A37" s="9" t="s">
        <v>222</v>
      </c>
      <c r="B37" s="9" t="s">
        <v>217</v>
      </c>
      <c r="C37" s="10" t="s">
        <v>223</v>
      </c>
      <c r="D37" s="10" t="s">
        <v>224</v>
      </c>
      <c r="E37" s="10" t="s">
        <v>225</v>
      </c>
      <c r="F37" s="10" t="s">
        <v>226</v>
      </c>
      <c r="G37" s="11" t="s">
        <v>227</v>
      </c>
      <c r="H37" s="11" t="s">
        <v>20</v>
      </c>
      <c r="I37" s="12" t="n">
        <v>2</v>
      </c>
      <c r="J37" s="12" t="s">
        <v>162</v>
      </c>
      <c r="K37" s="12" t="s">
        <v>123</v>
      </c>
      <c r="L37" s="13" t="s">
        <v>52</v>
      </c>
    </row>
    <row r="38" customFormat="false" ht="42" hidden="false" customHeight="true" outlineLevel="0" collapsed="false">
      <c r="A38" s="9" t="s">
        <v>228</v>
      </c>
      <c r="B38" s="9" t="s">
        <v>217</v>
      </c>
      <c r="C38" s="10" t="s">
        <v>92</v>
      </c>
      <c r="D38" s="10" t="s">
        <v>229</v>
      </c>
      <c r="E38" s="10" t="s">
        <v>230</v>
      </c>
      <c r="F38" s="10" t="s">
        <v>231</v>
      </c>
      <c r="G38" s="11" t="s">
        <v>232</v>
      </c>
      <c r="H38" s="11" t="s">
        <v>20</v>
      </c>
      <c r="I38" s="12" t="n">
        <v>2</v>
      </c>
      <c r="J38" s="12" t="s">
        <v>162</v>
      </c>
      <c r="K38" s="12" t="s">
        <v>123</v>
      </c>
      <c r="L38" s="13" t="s">
        <v>52</v>
      </c>
    </row>
    <row r="39" customFormat="false" ht="42" hidden="false" customHeight="true" outlineLevel="0" collapsed="false">
      <c r="A39" s="9" t="s">
        <v>233</v>
      </c>
      <c r="B39" s="9" t="s">
        <v>217</v>
      </c>
      <c r="C39" s="10" t="s">
        <v>223</v>
      </c>
      <c r="D39" s="10" t="s">
        <v>234</v>
      </c>
      <c r="E39" s="10" t="s">
        <v>235</v>
      </c>
      <c r="F39" s="10" t="s">
        <v>236</v>
      </c>
      <c r="G39" s="11" t="s">
        <v>237</v>
      </c>
      <c r="H39" s="11" t="s">
        <v>20</v>
      </c>
      <c r="I39" s="12" t="n">
        <v>3</v>
      </c>
      <c r="J39" s="12" t="s">
        <v>50</v>
      </c>
      <c r="K39" s="12" t="s">
        <v>123</v>
      </c>
      <c r="L39" s="13" t="s">
        <v>52</v>
      </c>
    </row>
    <row r="40" customFormat="false" ht="42" hidden="false" customHeight="true" outlineLevel="0" collapsed="false">
      <c r="A40" s="9" t="s">
        <v>238</v>
      </c>
      <c r="B40" s="9" t="s">
        <v>239</v>
      </c>
      <c r="C40" s="10" t="s">
        <v>92</v>
      </c>
      <c r="D40" s="10" t="s">
        <v>240</v>
      </c>
      <c r="E40" s="10" t="s">
        <v>241</v>
      </c>
      <c r="F40" s="10" t="s">
        <v>242</v>
      </c>
      <c r="G40" s="11" t="s">
        <v>243</v>
      </c>
      <c r="H40" s="11" t="s">
        <v>20</v>
      </c>
      <c r="I40" s="12" t="n">
        <v>2</v>
      </c>
      <c r="J40" s="12" t="s">
        <v>50</v>
      </c>
      <c r="K40" s="12" t="s">
        <v>204</v>
      </c>
      <c r="L40" s="13" t="s">
        <v>52</v>
      </c>
    </row>
    <row r="41" customFormat="false" ht="42" hidden="false" customHeight="true" outlineLevel="0" collapsed="false">
      <c r="A41" s="9" t="s">
        <v>244</v>
      </c>
      <c r="B41" s="9" t="s">
        <v>239</v>
      </c>
      <c r="C41" s="10" t="s">
        <v>84</v>
      </c>
      <c r="D41" s="10" t="s">
        <v>245</v>
      </c>
      <c r="E41" s="10" t="s">
        <v>246</v>
      </c>
      <c r="F41" s="10" t="s">
        <v>247</v>
      </c>
      <c r="G41" s="11" t="s">
        <v>248</v>
      </c>
      <c r="H41" s="11" t="s">
        <v>20</v>
      </c>
      <c r="I41" s="12" t="n">
        <v>3</v>
      </c>
      <c r="J41" s="12" t="s">
        <v>162</v>
      </c>
      <c r="K41" s="12" t="s">
        <v>204</v>
      </c>
      <c r="L41" s="13" t="s">
        <v>52</v>
      </c>
    </row>
    <row r="42" customFormat="false" ht="42" hidden="false" customHeight="true" outlineLevel="0" collapsed="false">
      <c r="A42" s="9" t="s">
        <v>249</v>
      </c>
      <c r="B42" s="9" t="s">
        <v>239</v>
      </c>
      <c r="C42" s="10" t="s">
        <v>84</v>
      </c>
      <c r="D42" s="10" t="s">
        <v>250</v>
      </c>
      <c r="E42" s="10" t="s">
        <v>251</v>
      </c>
      <c r="F42" s="10" t="s">
        <v>252</v>
      </c>
      <c r="G42" s="11" t="s">
        <v>253</v>
      </c>
      <c r="H42" s="11" t="s">
        <v>22</v>
      </c>
      <c r="I42" s="12" t="n">
        <v>2</v>
      </c>
      <c r="J42" s="12" t="s">
        <v>130</v>
      </c>
      <c r="K42" s="12" t="s">
        <v>204</v>
      </c>
      <c r="L42" s="13" t="s">
        <v>52</v>
      </c>
    </row>
    <row r="43" customFormat="false" ht="42" hidden="false" customHeight="true" outlineLevel="0" collapsed="false">
      <c r="A43" s="9" t="s">
        <v>254</v>
      </c>
      <c r="B43" s="9" t="s">
        <v>239</v>
      </c>
      <c r="C43" s="10" t="s">
        <v>84</v>
      </c>
      <c r="D43" s="10" t="s">
        <v>255</v>
      </c>
      <c r="E43" s="10" t="s">
        <v>256</v>
      </c>
      <c r="F43" s="10" t="s">
        <v>257</v>
      </c>
      <c r="G43" s="11" t="s">
        <v>258</v>
      </c>
      <c r="H43" s="11" t="s">
        <v>22</v>
      </c>
      <c r="I43" s="12" t="n">
        <v>2</v>
      </c>
      <c r="J43" s="12" t="s">
        <v>130</v>
      </c>
      <c r="K43" s="12" t="s">
        <v>204</v>
      </c>
      <c r="L43" s="13" t="s">
        <v>52</v>
      </c>
    </row>
    <row r="44" customFormat="false" ht="42" hidden="false" customHeight="true" outlineLevel="0" collapsed="false">
      <c r="A44" s="9" t="s">
        <v>259</v>
      </c>
      <c r="B44" s="9" t="s">
        <v>239</v>
      </c>
      <c r="C44" s="10" t="s">
        <v>84</v>
      </c>
      <c r="D44" s="10" t="s">
        <v>260</v>
      </c>
      <c r="E44" s="10" t="s">
        <v>261</v>
      </c>
      <c r="F44" s="10" t="s">
        <v>262</v>
      </c>
      <c r="G44" s="11" t="s">
        <v>263</v>
      </c>
      <c r="H44" s="11" t="s">
        <v>24</v>
      </c>
      <c r="I44" s="12" t="n">
        <v>3</v>
      </c>
      <c r="J44" s="12" t="s">
        <v>50</v>
      </c>
      <c r="K44" s="12" t="s">
        <v>204</v>
      </c>
      <c r="L44" s="13" t="s">
        <v>52</v>
      </c>
    </row>
    <row r="45" customFormat="false" ht="42" hidden="false" customHeight="true" outlineLevel="0" collapsed="false">
      <c r="A45" s="9" t="s">
        <v>264</v>
      </c>
      <c r="B45" s="9" t="s">
        <v>265</v>
      </c>
      <c r="C45" s="10" t="s">
        <v>266</v>
      </c>
      <c r="D45" s="10" t="s">
        <v>267</v>
      </c>
      <c r="E45" s="10" t="s">
        <v>268</v>
      </c>
      <c r="F45" s="10" t="s">
        <v>269</v>
      </c>
      <c r="G45" s="11" t="s">
        <v>49</v>
      </c>
      <c r="H45" s="11" t="s">
        <v>20</v>
      </c>
      <c r="I45" s="12" t="n">
        <v>5</v>
      </c>
      <c r="J45" s="12" t="s">
        <v>270</v>
      </c>
      <c r="K45" s="12" t="s">
        <v>204</v>
      </c>
      <c r="L45" s="13" t="s">
        <v>52</v>
      </c>
    </row>
    <row r="46" customFormat="false" ht="42" hidden="false" customHeight="true" outlineLevel="0" collapsed="false">
      <c r="A46" s="9" t="s">
        <v>271</v>
      </c>
      <c r="B46" s="9" t="s">
        <v>265</v>
      </c>
      <c r="C46" s="10" t="s">
        <v>266</v>
      </c>
      <c r="D46" s="10" t="s">
        <v>272</v>
      </c>
      <c r="E46" s="10" t="s">
        <v>273</v>
      </c>
      <c r="F46" s="10" t="s">
        <v>274</v>
      </c>
      <c r="G46" s="11" t="s">
        <v>49</v>
      </c>
      <c r="H46" s="11" t="s">
        <v>20</v>
      </c>
      <c r="I46" s="12" t="n">
        <v>8</v>
      </c>
      <c r="J46" s="12" t="s">
        <v>270</v>
      </c>
      <c r="K46" s="12" t="s">
        <v>204</v>
      </c>
      <c r="L46" s="13" t="s">
        <v>52</v>
      </c>
    </row>
    <row r="47" customFormat="false" ht="42" hidden="false" customHeight="true" outlineLevel="0" collapsed="false">
      <c r="A47" s="9" t="s">
        <v>275</v>
      </c>
      <c r="B47" s="9" t="s">
        <v>265</v>
      </c>
      <c r="C47" s="10" t="s">
        <v>266</v>
      </c>
      <c r="D47" s="10" t="s">
        <v>276</v>
      </c>
      <c r="E47" s="10" t="s">
        <v>277</v>
      </c>
      <c r="F47" s="10" t="s">
        <v>278</v>
      </c>
      <c r="G47" s="11" t="s">
        <v>49</v>
      </c>
      <c r="H47" s="11" t="s">
        <v>20</v>
      </c>
      <c r="I47" s="12" t="n">
        <v>5</v>
      </c>
      <c r="J47" s="12" t="s">
        <v>270</v>
      </c>
      <c r="K47" s="12" t="s">
        <v>204</v>
      </c>
      <c r="L47" s="13" t="s">
        <v>52</v>
      </c>
    </row>
    <row r="49" customFormat="false" ht="15" hidden="false" customHeight="false" outlineLevel="0" collapsed="false">
      <c r="H49" s="3" t="s">
        <v>279</v>
      </c>
      <c r="I49" s="3" t="n">
        <f aca="false">SUM(I5:I47)</f>
        <v>137</v>
      </c>
    </row>
    <row r="50" customFormat="false" ht="15" hidden="false" customHeight="false" outlineLevel="0" collapsed="false">
      <c r="H50" s="6" t="s">
        <v>280</v>
      </c>
      <c r="I50" s="6" t="n">
        <f aca="false">SUMIF(L5:L47,"Done",I5:I47)</f>
        <v>0</v>
      </c>
    </row>
    <row r="51" customFormat="false" ht="15" hidden="false" customHeight="false" outlineLevel="0" collapsed="false">
      <c r="H51" s="6" t="s">
        <v>281</v>
      </c>
      <c r="I51" s="14" t="n">
        <f aca="false">IFERROR(I50/I49,0)</f>
        <v>0</v>
      </c>
    </row>
  </sheetData>
  <autoFilter ref="A4:L47"/>
  <dataValidations count="4">
    <dataValidation allowBlank="true" errorStyle="stop" operator="between" showDropDown="false" showErrorMessage="false" showInputMessage="false" sqref="H5:H47" type="list">
      <formula1>"Must,Should,Could"</formula1>
      <formula2>0</formula2>
    </dataValidation>
    <dataValidation allowBlank="true" errorStyle="stop" operator="between" showDropDown="false" showErrorMessage="false" showInputMessage="false" sqref="J5:J47" type="list">
      <formula1>"Person 1,Person 2,Person 3,Person 4,All"</formula1>
      <formula2>0</formula2>
    </dataValidation>
    <dataValidation allowBlank="true" errorStyle="stop" operator="between" showDropDown="false" showErrorMessage="false" showInputMessage="false" sqref="K5:K47" type="list">
      <formula1>"Sprint 1,Sprint 2,Sprint 3,Sprint 4"</formula1>
      <formula2>0</formula2>
    </dataValidation>
    <dataValidation allowBlank="true" errorStyle="stop" operator="between" showDropDown="false" showErrorMessage="false" showInputMessage="false" sqref="L5:L47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11" min="3" style="0" width="13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7" t="s">
        <v>283</v>
      </c>
    </row>
    <row r="4" customFormat="false" ht="26.85" hidden="false" customHeight="false" outlineLevel="0" collapsed="false">
      <c r="A4" s="8" t="s">
        <v>41</v>
      </c>
      <c r="B4" s="8" t="s">
        <v>284</v>
      </c>
      <c r="C4" s="8" t="s">
        <v>285</v>
      </c>
      <c r="D4" s="8" t="s">
        <v>286</v>
      </c>
      <c r="E4" s="8" t="s">
        <v>287</v>
      </c>
      <c r="F4" s="8" t="s">
        <v>288</v>
      </c>
      <c r="G4" s="8" t="s">
        <v>289</v>
      </c>
      <c r="H4" s="8" t="s">
        <v>290</v>
      </c>
      <c r="I4" s="8" t="s">
        <v>291</v>
      </c>
      <c r="J4" s="8" t="s">
        <v>292</v>
      </c>
      <c r="K4" s="8" t="s">
        <v>293</v>
      </c>
    </row>
    <row r="5" customFormat="false" ht="15" hidden="false" customHeight="false" outlineLevel="0" collapsed="false">
      <c r="A5" s="15" t="s">
        <v>51</v>
      </c>
      <c r="B5" s="10" t="s">
        <v>294</v>
      </c>
      <c r="C5" s="16" t="s">
        <v>295</v>
      </c>
      <c r="D5" s="16" t="s">
        <v>296</v>
      </c>
      <c r="E5" s="16" t="n">
        <v>1</v>
      </c>
      <c r="F5" s="17" t="n">
        <v>40</v>
      </c>
      <c r="G5" s="16" t="n">
        <f aca="false">SUMIF('User Stories'!$K$5:$K$47,$A5,'User Stories'!$I$5:$I$47)</f>
        <v>22</v>
      </c>
      <c r="H5" s="16" t="n">
        <f aca="false">SUMIFS('User Stories'!$I$5:$I$47,'User Stories'!$K$5:$K$47,$A5,'User Stories'!$L$5:$L$47,"Done")</f>
        <v>0</v>
      </c>
      <c r="I5" s="16" t="n">
        <f aca="false">G5-H5</f>
        <v>22</v>
      </c>
      <c r="J5" s="18" t="n">
        <f aca="false">IFERROR(H5/G5,0)</f>
        <v>0</v>
      </c>
      <c r="K5" s="18" t="n">
        <f aca="false">IFERROR(G5/F5,0)</f>
        <v>0.55</v>
      </c>
    </row>
    <row r="6" customFormat="false" ht="15" hidden="false" customHeight="false" outlineLevel="0" collapsed="false">
      <c r="A6" s="15" t="s">
        <v>89</v>
      </c>
      <c r="B6" s="10" t="s">
        <v>297</v>
      </c>
      <c r="C6" s="16" t="s">
        <v>298</v>
      </c>
      <c r="D6" s="16" t="s">
        <v>299</v>
      </c>
      <c r="E6" s="16" t="n">
        <v>1</v>
      </c>
      <c r="F6" s="17" t="n">
        <v>40</v>
      </c>
      <c r="G6" s="16" t="n">
        <f aca="false">SUMIF('User Stories'!$K$5:$K$47,$A6,'User Stories'!$I$5:$I$47)</f>
        <v>32</v>
      </c>
      <c r="H6" s="16" t="n">
        <f aca="false">SUMIFS('User Stories'!$I$5:$I$47,'User Stories'!$K$5:$K$47,$A6,'User Stories'!$L$5:$L$47,"Done")</f>
        <v>0</v>
      </c>
      <c r="I6" s="16" t="n">
        <f aca="false">G6-H6</f>
        <v>32</v>
      </c>
      <c r="J6" s="18" t="n">
        <f aca="false">IFERROR(H6/G6,0)</f>
        <v>0</v>
      </c>
      <c r="K6" s="18" t="n">
        <f aca="false">IFERROR(G6/F6,0)</f>
        <v>0.8</v>
      </c>
    </row>
    <row r="7" customFormat="false" ht="15" hidden="false" customHeight="false" outlineLevel="0" collapsed="false">
      <c r="A7" s="15" t="s">
        <v>123</v>
      </c>
      <c r="B7" s="10" t="s">
        <v>300</v>
      </c>
      <c r="C7" s="16" t="s">
        <v>301</v>
      </c>
      <c r="D7" s="16" t="s">
        <v>302</v>
      </c>
      <c r="E7" s="16" t="n">
        <v>2</v>
      </c>
      <c r="F7" s="17" t="n">
        <v>40</v>
      </c>
      <c r="G7" s="16" t="n">
        <f aca="false">SUMIF('User Stories'!$K$5:$K$47,$A7,'User Stories'!$I$5:$I$47)</f>
        <v>43</v>
      </c>
      <c r="H7" s="16" t="n">
        <f aca="false">SUMIFS('User Stories'!$I$5:$I$47,'User Stories'!$K$5:$K$47,$A7,'User Stories'!$L$5:$L$47,"Done")</f>
        <v>0</v>
      </c>
      <c r="I7" s="16" t="n">
        <f aca="false">G7-H7</f>
        <v>43</v>
      </c>
      <c r="J7" s="18" t="n">
        <f aca="false">IFERROR(H7/G7,0)</f>
        <v>0</v>
      </c>
      <c r="K7" s="18" t="n">
        <f aca="false">IFERROR(G7/F7,0)</f>
        <v>1.075</v>
      </c>
    </row>
    <row r="8" customFormat="false" ht="15" hidden="false" customHeight="false" outlineLevel="0" collapsed="false">
      <c r="A8" s="15" t="s">
        <v>204</v>
      </c>
      <c r="B8" s="10" t="s">
        <v>303</v>
      </c>
      <c r="C8" s="16" t="s">
        <v>304</v>
      </c>
      <c r="D8" s="16" t="s">
        <v>305</v>
      </c>
      <c r="E8" s="16" t="n">
        <v>3</v>
      </c>
      <c r="F8" s="17" t="n">
        <v>40</v>
      </c>
      <c r="G8" s="16" t="n">
        <f aca="false">SUMIF('User Stories'!$K$5:$K$47,$A8,'User Stories'!$I$5:$I$47)</f>
        <v>40</v>
      </c>
      <c r="H8" s="16" t="n">
        <f aca="false">SUMIFS('User Stories'!$I$5:$I$47,'User Stories'!$K$5:$K$47,$A8,'User Stories'!$L$5:$L$47,"Done")</f>
        <v>0</v>
      </c>
      <c r="I8" s="16" t="n">
        <f aca="false">G8-H8</f>
        <v>40</v>
      </c>
      <c r="J8" s="18" t="n">
        <f aca="false">IFERROR(H8/G8,0)</f>
        <v>0</v>
      </c>
      <c r="K8" s="18" t="n">
        <f aca="false">IFERROR(G8/F8,0)</f>
        <v>1</v>
      </c>
    </row>
    <row r="9" customFormat="false" ht="15" hidden="false" customHeight="false" outlineLevel="0" collapsed="false">
      <c r="A9" s="19" t="s">
        <v>306</v>
      </c>
      <c r="B9" s="20"/>
      <c r="C9" s="20"/>
      <c r="D9" s="20"/>
      <c r="E9" s="20"/>
      <c r="F9" s="21" t="n">
        <f aca="false">SUM(F5:F8)</f>
        <v>160</v>
      </c>
      <c r="G9" s="21" t="n">
        <f aca="false">SUM(G5:G8)</f>
        <v>137</v>
      </c>
      <c r="H9" s="21" t="n">
        <f aca="false">SUM(H5:H8)</f>
        <v>0</v>
      </c>
      <c r="I9" s="21" t="n">
        <f aca="false">SUM(I5:I8)</f>
        <v>137</v>
      </c>
      <c r="J9" s="22" t="n">
        <f aca="false">IFERROR(H9/G9,0)</f>
        <v>0</v>
      </c>
      <c r="K9" s="20"/>
    </row>
    <row r="12" customFormat="false" ht="15" hidden="false" customHeight="false" outlineLevel="0" collapsed="false">
      <c r="A12" s="5" t="s">
        <v>307</v>
      </c>
    </row>
    <row r="13" customFormat="false" ht="15" hidden="false" customHeight="false" outlineLevel="0" collapsed="false">
      <c r="A13" s="23" t="s">
        <v>308</v>
      </c>
      <c r="B13" s="24" t="s">
        <v>51</v>
      </c>
      <c r="C13" s="24" t="s">
        <v>89</v>
      </c>
      <c r="D13" s="24" t="s">
        <v>123</v>
      </c>
      <c r="E13" s="24" t="s">
        <v>204</v>
      </c>
      <c r="F13" s="24" t="s">
        <v>306</v>
      </c>
    </row>
    <row r="14" customFormat="false" ht="15" hidden="false" customHeight="false" outlineLevel="0" collapsed="false">
      <c r="A14" s="25" t="s">
        <v>50</v>
      </c>
      <c r="B14" s="16" t="n">
        <f aca="false">SUMIFS('User Stories'!$I$5:$I$47,'User Stories'!$J$5:$J$47,$A14,'User Stories'!$K$5:$K$47,B$13)</f>
        <v>16</v>
      </c>
      <c r="C14" s="16" t="n">
        <f aca="false">SUMIFS('User Stories'!$I$5:$I$47,'User Stories'!$J$5:$J$47,$A14,'User Stories'!$K$5:$K$47,C$13)</f>
        <v>3</v>
      </c>
      <c r="D14" s="16" t="n">
        <f aca="false">SUMIFS('User Stories'!$I$5:$I$47,'User Stories'!$J$5:$J$47,$A14,'User Stories'!$K$5:$K$47,D$13)</f>
        <v>3</v>
      </c>
      <c r="E14" s="16" t="n">
        <f aca="false">SUMIFS('User Stories'!$I$5:$I$47,'User Stories'!$J$5:$J$47,$A14,'User Stories'!$K$5:$K$47,E$13)</f>
        <v>5</v>
      </c>
      <c r="F14" s="26" t="n">
        <f aca="false">SUM(B14:E14)</f>
        <v>27</v>
      </c>
    </row>
    <row r="15" customFormat="false" ht="15" hidden="false" customHeight="false" outlineLevel="0" collapsed="false">
      <c r="A15" s="25" t="s">
        <v>65</v>
      </c>
      <c r="B15" s="16" t="n">
        <f aca="false">SUMIFS('User Stories'!$I$5:$I$47,'User Stories'!$J$5:$J$47,$A15,'User Stories'!$K$5:$K$47,B$13)</f>
        <v>6</v>
      </c>
      <c r="C15" s="16" t="n">
        <f aca="false">SUMIFS('User Stories'!$I$5:$I$47,'User Stories'!$J$5:$J$47,$A15,'User Stories'!$K$5:$K$47,C$13)</f>
        <v>12</v>
      </c>
      <c r="D15" s="16" t="n">
        <f aca="false">SUMIFS('User Stories'!$I$5:$I$47,'User Stories'!$J$5:$J$47,$A15,'User Stories'!$K$5:$K$47,D$13)</f>
        <v>3</v>
      </c>
      <c r="E15" s="16" t="n">
        <f aca="false">SUMIFS('User Stories'!$I$5:$I$47,'User Stories'!$J$5:$J$47,$A15,'User Stories'!$K$5:$K$47,E$13)</f>
        <v>0</v>
      </c>
      <c r="F15" s="26" t="n">
        <f aca="false">SUM(B15:E15)</f>
        <v>21</v>
      </c>
    </row>
    <row r="16" customFormat="false" ht="15" hidden="false" customHeight="false" outlineLevel="0" collapsed="false">
      <c r="A16" s="25" t="s">
        <v>130</v>
      </c>
      <c r="B16" s="16" t="n">
        <f aca="false">SUMIFS('User Stories'!$I$5:$I$47,'User Stories'!$J$5:$J$47,$A16,'User Stories'!$K$5:$K$47,B$13)</f>
        <v>0</v>
      </c>
      <c r="C16" s="16" t="n">
        <f aca="false">SUMIFS('User Stories'!$I$5:$I$47,'User Stories'!$J$5:$J$47,$A16,'User Stories'!$K$5:$K$47,C$13)</f>
        <v>9</v>
      </c>
      <c r="D16" s="16" t="n">
        <f aca="false">SUMIFS('User Stories'!$I$5:$I$47,'User Stories'!$J$5:$J$47,$A16,'User Stories'!$K$5:$K$47,D$13)</f>
        <v>13</v>
      </c>
      <c r="E16" s="16" t="n">
        <f aca="false">SUMIFS('User Stories'!$I$5:$I$47,'User Stories'!$J$5:$J$47,$A16,'User Stories'!$K$5:$K$47,E$13)</f>
        <v>6</v>
      </c>
      <c r="F16" s="26" t="n">
        <f aca="false">SUM(B16:E16)</f>
        <v>28</v>
      </c>
    </row>
    <row r="17" customFormat="false" ht="15" hidden="false" customHeight="false" outlineLevel="0" collapsed="false">
      <c r="A17" s="25" t="s">
        <v>162</v>
      </c>
      <c r="B17" s="16" t="n">
        <f aca="false">SUMIFS('User Stories'!$I$5:$I$47,'User Stories'!$J$5:$J$47,$A17,'User Stories'!$K$5:$K$47,B$13)</f>
        <v>0</v>
      </c>
      <c r="C17" s="16" t="n">
        <f aca="false">SUMIFS('User Stories'!$I$5:$I$47,'User Stories'!$J$5:$J$47,$A17,'User Stories'!$K$5:$K$47,C$13)</f>
        <v>8</v>
      </c>
      <c r="D17" s="16" t="n">
        <f aca="false">SUMIFS('User Stories'!$I$5:$I$47,'User Stories'!$J$5:$J$47,$A17,'User Stories'!$K$5:$K$47,D$13)</f>
        <v>24</v>
      </c>
      <c r="E17" s="16" t="n">
        <f aca="false">SUMIFS('User Stories'!$I$5:$I$47,'User Stories'!$J$5:$J$47,$A17,'User Stories'!$K$5:$K$47,E$13)</f>
        <v>11</v>
      </c>
      <c r="F17" s="26" t="n">
        <f aca="false">SUM(B17:E17)</f>
        <v>43</v>
      </c>
    </row>
    <row r="18" customFormat="false" ht="15" hidden="false" customHeight="false" outlineLevel="0" collapsed="false">
      <c r="A18" s="25" t="s">
        <v>270</v>
      </c>
      <c r="B18" s="16" t="n">
        <f aca="false">SUMIFS('User Stories'!$I$5:$I$47,'User Stories'!$J$5:$J$47,$A18,'User Stories'!$K$5:$K$47,B$13)</f>
        <v>0</v>
      </c>
      <c r="C18" s="16" t="n">
        <f aca="false">SUMIFS('User Stories'!$I$5:$I$47,'User Stories'!$J$5:$J$47,$A18,'User Stories'!$K$5:$K$47,C$13)</f>
        <v>0</v>
      </c>
      <c r="D18" s="16" t="n">
        <f aca="false">SUMIFS('User Stories'!$I$5:$I$47,'User Stories'!$J$5:$J$47,$A18,'User Stories'!$K$5:$K$47,D$13)</f>
        <v>0</v>
      </c>
      <c r="E18" s="16" t="n">
        <f aca="false">SUMIFS('User Stories'!$I$5:$I$47,'User Stories'!$J$5:$J$47,$A18,'User Stories'!$K$5:$K$47,E$13)</f>
        <v>18</v>
      </c>
      <c r="F18" s="26" t="n">
        <f aca="false">SUM(B18:E18)</f>
        <v>18</v>
      </c>
    </row>
    <row r="20" customFormat="false" ht="15" hidden="false" customHeight="false" outlineLevel="0" collapsed="false">
      <c r="A20" s="7" t="s">
        <v>309</v>
      </c>
    </row>
    <row r="21" customFormat="false" ht="15" hidden="false" customHeight="false" outlineLevel="0" collapsed="false">
      <c r="A21" s="7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2026-09-27T07:39:01Z</dcterms:created>
  <dc:creator>openpyxl</dc:creator>
  <dc:description/>
  <dc:language>en-US</dc:language>
  <cp:lastModifiedBy/>
  <dcterms:modified xsi:type="dcterms:W3CDTF">2026-09-27T07:39:02Z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